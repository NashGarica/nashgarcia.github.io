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ke\Downloads\"/>
    </mc:Choice>
  </mc:AlternateContent>
  <xr:revisionPtr revIDLastSave="0" documentId="8_{1D1376AB-66CB-4A9F-B7B6-D251E634D082}" xr6:coauthVersionLast="47" xr6:coauthVersionMax="47" xr10:uidLastSave="{00000000-0000-0000-0000-000000000000}"/>
  <bookViews>
    <workbookView xWindow="-108" yWindow="-108" windowWidth="23256" windowHeight="13176" firstSheet="9" activeTab="12" xr2:uid="{83F6D281-7731-427F-9355-81D83471E1CD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2021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3" l="1"/>
  <c r="E13" i="13" s="1"/>
  <c r="D13" i="13"/>
  <c r="C14" i="13"/>
  <c r="D14" i="13"/>
  <c r="C15" i="13"/>
  <c r="D15" i="13"/>
  <c r="E15" i="13" s="1"/>
  <c r="C16" i="13"/>
  <c r="D16" i="13"/>
  <c r="C17" i="13"/>
  <c r="D17" i="13"/>
  <c r="E17" i="13" s="1"/>
  <c r="C18" i="13"/>
  <c r="D18" i="13"/>
  <c r="C19" i="13"/>
  <c r="D19" i="13"/>
  <c r="C20" i="13"/>
  <c r="E20" i="13" s="1"/>
  <c r="D20" i="13"/>
  <c r="C21" i="13"/>
  <c r="E21" i="13" s="1"/>
  <c r="D21" i="13"/>
  <c r="C22" i="13"/>
  <c r="D22" i="13"/>
  <c r="C23" i="13"/>
  <c r="D23" i="13"/>
  <c r="E23" i="13" s="1"/>
  <c r="C24" i="13"/>
  <c r="D24" i="13"/>
  <c r="C25" i="13"/>
  <c r="D25" i="13"/>
  <c r="E25" i="13" s="1"/>
  <c r="C26" i="13"/>
  <c r="D26" i="13"/>
  <c r="C27" i="13"/>
  <c r="D27" i="13"/>
  <c r="C28" i="13"/>
  <c r="E28" i="13" s="1"/>
  <c r="D28" i="13"/>
  <c r="C29" i="13"/>
  <c r="E29" i="13" s="1"/>
  <c r="D29" i="13"/>
  <c r="C30" i="13"/>
  <c r="D30" i="13"/>
  <c r="C31" i="13"/>
  <c r="D31" i="13"/>
  <c r="E31" i="13" s="1"/>
  <c r="D12" i="13"/>
  <c r="E12" i="13" s="1"/>
  <c r="C12" i="13"/>
  <c r="D5" i="13"/>
  <c r="E5" i="13"/>
  <c r="D6" i="13"/>
  <c r="E6" i="13"/>
  <c r="E4" i="13"/>
  <c r="E7" i="13" s="1"/>
  <c r="D7" i="13"/>
  <c r="F6" i="13"/>
  <c r="F5" i="13"/>
  <c r="D4" i="13"/>
  <c r="C32" i="13"/>
  <c r="E30" i="13"/>
  <c r="E27" i="13"/>
  <c r="E26" i="13"/>
  <c r="E24" i="13"/>
  <c r="E22" i="13"/>
  <c r="E19" i="13"/>
  <c r="E18" i="13"/>
  <c r="E16" i="13"/>
  <c r="E14" i="13"/>
  <c r="F4" i="13"/>
  <c r="D32" i="12"/>
  <c r="F29" i="12" s="1"/>
  <c r="C32" i="12"/>
  <c r="E32" i="12" s="1"/>
  <c r="E31" i="12"/>
  <c r="F30" i="12"/>
  <c r="E30" i="12"/>
  <c r="E29" i="12"/>
  <c r="E28" i="12"/>
  <c r="E27" i="12"/>
  <c r="F26" i="12"/>
  <c r="E26" i="12"/>
  <c r="E25" i="12"/>
  <c r="E24" i="12"/>
  <c r="E23" i="12"/>
  <c r="F22" i="12"/>
  <c r="E22" i="12"/>
  <c r="E21" i="12"/>
  <c r="E20" i="12"/>
  <c r="E19" i="12"/>
  <c r="F18" i="12"/>
  <c r="E18" i="12"/>
  <c r="E17" i="12"/>
  <c r="E16" i="12"/>
  <c r="E15" i="12"/>
  <c r="F14" i="12"/>
  <c r="E14" i="12"/>
  <c r="E13" i="12"/>
  <c r="E12" i="12"/>
  <c r="E7" i="12"/>
  <c r="F7" i="12" s="1"/>
  <c r="H9" i="12" s="1"/>
  <c r="D7" i="12"/>
  <c r="F6" i="12"/>
  <c r="F5" i="12"/>
  <c r="F4" i="12"/>
  <c r="D32" i="11"/>
  <c r="F29" i="11" s="1"/>
  <c r="C32" i="11"/>
  <c r="E32" i="11" s="1"/>
  <c r="F31" i="11"/>
  <c r="E31" i="11"/>
  <c r="F30" i="11"/>
  <c r="E30" i="11"/>
  <c r="E29" i="11"/>
  <c r="E28" i="11"/>
  <c r="F27" i="11"/>
  <c r="E27" i="11"/>
  <c r="F26" i="11"/>
  <c r="E26" i="11"/>
  <c r="E25" i="11"/>
  <c r="E24" i="11"/>
  <c r="F23" i="11"/>
  <c r="E23" i="11"/>
  <c r="F22" i="11"/>
  <c r="E22" i="11"/>
  <c r="E21" i="11"/>
  <c r="E20" i="11"/>
  <c r="F19" i="11"/>
  <c r="E19" i="11"/>
  <c r="F18" i="11"/>
  <c r="E18" i="11"/>
  <c r="E17" i="11"/>
  <c r="E16" i="11"/>
  <c r="F15" i="11"/>
  <c r="E15" i="11"/>
  <c r="F14" i="11"/>
  <c r="E14" i="11"/>
  <c r="E13" i="11"/>
  <c r="F12" i="11"/>
  <c r="E12" i="11"/>
  <c r="E7" i="11"/>
  <c r="F7" i="11" s="1"/>
  <c r="H9" i="11" s="1"/>
  <c r="D7" i="11"/>
  <c r="F6" i="11"/>
  <c r="F5" i="11"/>
  <c r="F4" i="11"/>
  <c r="E32" i="10"/>
  <c r="D32" i="10"/>
  <c r="F31" i="10" s="1"/>
  <c r="C32" i="10"/>
  <c r="E31" i="10"/>
  <c r="F30" i="10"/>
  <c r="E30" i="10"/>
  <c r="F29" i="10"/>
  <c r="E29" i="10"/>
  <c r="F28" i="10"/>
  <c r="E28" i="10"/>
  <c r="E27" i="10"/>
  <c r="F26" i="10"/>
  <c r="E26" i="10"/>
  <c r="F25" i="10"/>
  <c r="E25" i="10"/>
  <c r="F24" i="10"/>
  <c r="E24" i="10"/>
  <c r="E23" i="10"/>
  <c r="F22" i="10"/>
  <c r="E22" i="10"/>
  <c r="F21" i="10"/>
  <c r="E21" i="10"/>
  <c r="F20" i="10"/>
  <c r="E20" i="10"/>
  <c r="E19" i="10"/>
  <c r="F18" i="10"/>
  <c r="E18" i="10"/>
  <c r="F17" i="10"/>
  <c r="E17" i="10"/>
  <c r="F16" i="10"/>
  <c r="E16" i="10"/>
  <c r="E15" i="10"/>
  <c r="F14" i="10"/>
  <c r="E14" i="10"/>
  <c r="F13" i="10"/>
  <c r="E13" i="10"/>
  <c r="F12" i="10"/>
  <c r="E12" i="10"/>
  <c r="E7" i="10"/>
  <c r="F7" i="10" s="1"/>
  <c r="H9" i="10" s="1"/>
  <c r="D7" i="10"/>
  <c r="F6" i="10"/>
  <c r="F5" i="10"/>
  <c r="F4" i="10"/>
  <c r="E32" i="9"/>
  <c r="D32" i="9"/>
  <c r="C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F32" i="9" s="1"/>
  <c r="E12" i="9"/>
  <c r="E7" i="9"/>
  <c r="F7" i="9" s="1"/>
  <c r="H9" i="9" s="1"/>
  <c r="D7" i="9"/>
  <c r="F6" i="9"/>
  <c r="F5" i="9"/>
  <c r="F4" i="9"/>
  <c r="D32" i="8"/>
  <c r="F31" i="8" s="1"/>
  <c r="C32" i="8"/>
  <c r="E32" i="8" s="1"/>
  <c r="E31" i="8"/>
  <c r="F30" i="8"/>
  <c r="E30" i="8"/>
  <c r="F29" i="8"/>
  <c r="E29" i="8"/>
  <c r="F28" i="8"/>
  <c r="E28" i="8"/>
  <c r="E27" i="8"/>
  <c r="F26" i="8"/>
  <c r="E26" i="8"/>
  <c r="F25" i="8"/>
  <c r="E25" i="8"/>
  <c r="F24" i="8"/>
  <c r="E24" i="8"/>
  <c r="E23" i="8"/>
  <c r="F22" i="8"/>
  <c r="E22" i="8"/>
  <c r="F21" i="8"/>
  <c r="E21" i="8"/>
  <c r="F20" i="8"/>
  <c r="E20" i="8"/>
  <c r="E19" i="8"/>
  <c r="F18" i="8"/>
  <c r="E18" i="8"/>
  <c r="F17" i="8"/>
  <c r="E17" i="8"/>
  <c r="F16" i="8"/>
  <c r="E16" i="8"/>
  <c r="E15" i="8"/>
  <c r="F14" i="8"/>
  <c r="E14" i="8"/>
  <c r="F13" i="8"/>
  <c r="E13" i="8"/>
  <c r="F12" i="8"/>
  <c r="E12" i="8"/>
  <c r="E7" i="8"/>
  <c r="F7" i="8" s="1"/>
  <c r="H9" i="8" s="1"/>
  <c r="D7" i="8"/>
  <c r="F6" i="8"/>
  <c r="F5" i="8"/>
  <c r="F4" i="8"/>
  <c r="D32" i="7"/>
  <c r="F30" i="7" s="1"/>
  <c r="C32" i="7"/>
  <c r="E31" i="7"/>
  <c r="E30" i="7"/>
  <c r="E29" i="7"/>
  <c r="E28" i="7"/>
  <c r="E27" i="7"/>
  <c r="E26" i="7"/>
  <c r="E25" i="7"/>
  <c r="E24" i="7"/>
  <c r="E23" i="7"/>
  <c r="E22" i="7"/>
  <c r="E21" i="7"/>
  <c r="F20" i="7"/>
  <c r="E20" i="7"/>
  <c r="E19" i="7"/>
  <c r="E18" i="7"/>
  <c r="E17" i="7"/>
  <c r="F16" i="7"/>
  <c r="E16" i="7"/>
  <c r="E15" i="7"/>
  <c r="E14" i="7"/>
  <c r="E13" i="7"/>
  <c r="F12" i="7"/>
  <c r="E12" i="7"/>
  <c r="E7" i="7"/>
  <c r="F7" i="7" s="1"/>
  <c r="D7" i="7"/>
  <c r="F6" i="7"/>
  <c r="F5" i="7"/>
  <c r="F4" i="7"/>
  <c r="E32" i="6"/>
  <c r="D32" i="6"/>
  <c r="F31" i="6" s="1"/>
  <c r="C32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F32" i="6" s="1"/>
  <c r="E13" i="6"/>
  <c r="F12" i="6"/>
  <c r="E12" i="6"/>
  <c r="E7" i="6"/>
  <c r="F7" i="6" s="1"/>
  <c r="H9" i="6" s="1"/>
  <c r="D7" i="6"/>
  <c r="F6" i="6"/>
  <c r="F5" i="6"/>
  <c r="F4" i="6"/>
  <c r="E32" i="5"/>
  <c r="D32" i="5"/>
  <c r="C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F32" i="5" s="1"/>
  <c r="E12" i="5"/>
  <c r="E7" i="5"/>
  <c r="F7" i="5" s="1"/>
  <c r="H9" i="5" s="1"/>
  <c r="D7" i="5"/>
  <c r="F6" i="5"/>
  <c r="F5" i="5"/>
  <c r="F4" i="5"/>
  <c r="D32" i="4"/>
  <c r="F30" i="4" s="1"/>
  <c r="C32" i="4"/>
  <c r="E32" i="4" s="1"/>
  <c r="F31" i="4"/>
  <c r="E31" i="4"/>
  <c r="E30" i="4"/>
  <c r="F29" i="4"/>
  <c r="E29" i="4"/>
  <c r="F28" i="4"/>
  <c r="E28" i="4"/>
  <c r="F27" i="4"/>
  <c r="E27" i="4"/>
  <c r="E26" i="4"/>
  <c r="F25" i="4"/>
  <c r="E25" i="4"/>
  <c r="F24" i="4"/>
  <c r="E24" i="4"/>
  <c r="F23" i="4"/>
  <c r="E23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E7" i="4"/>
  <c r="F7" i="4" s="1"/>
  <c r="D7" i="4"/>
  <c r="F6" i="4"/>
  <c r="F5" i="4"/>
  <c r="F4" i="4"/>
  <c r="E32" i="3"/>
  <c r="D32" i="3"/>
  <c r="F30" i="3" s="1"/>
  <c r="C32" i="3"/>
  <c r="F31" i="3"/>
  <c r="E31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7" i="3"/>
  <c r="H9" i="3" s="1"/>
  <c r="E7" i="3"/>
  <c r="D7" i="3"/>
  <c r="F6" i="3"/>
  <c r="F5" i="3"/>
  <c r="F4" i="3"/>
  <c r="D32" i="2"/>
  <c r="F31" i="2" s="1"/>
  <c r="C32" i="2"/>
  <c r="E32" i="2" s="1"/>
  <c r="E31" i="2"/>
  <c r="E30" i="2"/>
  <c r="E29" i="2"/>
  <c r="E28" i="2"/>
  <c r="F27" i="2"/>
  <c r="E27" i="2"/>
  <c r="E26" i="2"/>
  <c r="E25" i="2"/>
  <c r="E24" i="2"/>
  <c r="F23" i="2"/>
  <c r="E23" i="2"/>
  <c r="E22" i="2"/>
  <c r="E21" i="2"/>
  <c r="F20" i="2"/>
  <c r="E20" i="2"/>
  <c r="F19" i="2"/>
  <c r="E19" i="2"/>
  <c r="E18" i="2"/>
  <c r="E17" i="2"/>
  <c r="F16" i="2"/>
  <c r="E16" i="2"/>
  <c r="F15" i="2"/>
  <c r="E15" i="2"/>
  <c r="E14" i="2"/>
  <c r="E13" i="2"/>
  <c r="F12" i="2"/>
  <c r="E12" i="2"/>
  <c r="E7" i="2"/>
  <c r="F7" i="2" s="1"/>
  <c r="H9" i="2" s="1"/>
  <c r="D7" i="2"/>
  <c r="F6" i="2"/>
  <c r="F5" i="2"/>
  <c r="F4" i="2"/>
  <c r="F26" i="1"/>
  <c r="E25" i="1"/>
  <c r="F5" i="1"/>
  <c r="F6" i="1"/>
  <c r="F4" i="1"/>
  <c r="E28" i="1"/>
  <c r="E29" i="1"/>
  <c r="E30" i="1"/>
  <c r="E31" i="1"/>
  <c r="E13" i="1"/>
  <c r="E14" i="1"/>
  <c r="E15" i="1"/>
  <c r="E16" i="1"/>
  <c r="E17" i="1"/>
  <c r="E18" i="1"/>
  <c r="E19" i="1"/>
  <c r="E20" i="1"/>
  <c r="E21" i="1"/>
  <c r="E22" i="1"/>
  <c r="E23" i="1"/>
  <c r="E24" i="1"/>
  <c r="E26" i="1"/>
  <c r="E27" i="1"/>
  <c r="E12" i="1"/>
  <c r="D32" i="1"/>
  <c r="F28" i="1" s="1"/>
  <c r="C32" i="1"/>
  <c r="E7" i="1"/>
  <c r="D7" i="1"/>
  <c r="F7" i="1" s="1"/>
  <c r="D32" i="13" l="1"/>
  <c r="F29" i="13" s="1"/>
  <c r="F7" i="13"/>
  <c r="F18" i="1"/>
  <c r="F23" i="1"/>
  <c r="F31" i="1"/>
  <c r="F24" i="1"/>
  <c r="F15" i="1"/>
  <c r="F16" i="1"/>
  <c r="F17" i="1"/>
  <c r="F25" i="1"/>
  <c r="F19" i="1"/>
  <c r="F12" i="1"/>
  <c r="F20" i="1"/>
  <c r="E32" i="1"/>
  <c r="H9" i="1" s="1"/>
  <c r="F27" i="1"/>
  <c r="F13" i="1"/>
  <c r="F21" i="1"/>
  <c r="F29" i="1"/>
  <c r="F14" i="1"/>
  <c r="F22" i="1"/>
  <c r="F30" i="1"/>
  <c r="F15" i="12"/>
  <c r="F23" i="12"/>
  <c r="F31" i="12"/>
  <c r="F16" i="12"/>
  <c r="F28" i="12"/>
  <c r="F19" i="12"/>
  <c r="F27" i="12"/>
  <c r="F12" i="12"/>
  <c r="F32" i="12" s="1"/>
  <c r="F20" i="12"/>
  <c r="F24" i="12"/>
  <c r="F13" i="12"/>
  <c r="F17" i="12"/>
  <c r="F21" i="12"/>
  <c r="F25" i="12"/>
  <c r="F16" i="11"/>
  <c r="F20" i="11"/>
  <c r="F24" i="11"/>
  <c r="F28" i="11"/>
  <c r="F13" i="11"/>
  <c r="F32" i="11" s="1"/>
  <c r="F17" i="11"/>
  <c r="F21" i="11"/>
  <c r="F25" i="11"/>
  <c r="F15" i="10"/>
  <c r="F19" i="10"/>
  <c r="F23" i="10"/>
  <c r="F27" i="10"/>
  <c r="F15" i="8"/>
  <c r="F32" i="8" s="1"/>
  <c r="F19" i="8"/>
  <c r="F23" i="8"/>
  <c r="F27" i="8"/>
  <c r="H9" i="7"/>
  <c r="F18" i="7"/>
  <c r="F26" i="7"/>
  <c r="F15" i="7"/>
  <c r="F19" i="7"/>
  <c r="F23" i="7"/>
  <c r="F27" i="7"/>
  <c r="F31" i="7"/>
  <c r="F24" i="7"/>
  <c r="F28" i="7"/>
  <c r="E32" i="7"/>
  <c r="F13" i="7"/>
  <c r="F17" i="7"/>
  <c r="F21" i="7"/>
  <c r="F25" i="7"/>
  <c r="F29" i="7"/>
  <c r="F14" i="7"/>
  <c r="F32" i="7" s="1"/>
  <c r="F22" i="7"/>
  <c r="H9" i="4"/>
  <c r="F22" i="4"/>
  <c r="F32" i="4" s="1"/>
  <c r="F26" i="4"/>
  <c r="F32" i="3"/>
  <c r="F32" i="2"/>
  <c r="F24" i="2"/>
  <c r="F28" i="2"/>
  <c r="F17" i="2"/>
  <c r="F13" i="2"/>
  <c r="F21" i="2"/>
  <c r="F25" i="2"/>
  <c r="F29" i="2"/>
  <c r="F14" i="2"/>
  <c r="F18" i="2"/>
  <c r="F22" i="2"/>
  <c r="F26" i="2"/>
  <c r="F30" i="2"/>
  <c r="F30" i="13" l="1"/>
  <c r="F15" i="13"/>
  <c r="F28" i="13"/>
  <c r="F12" i="13"/>
  <c r="F19" i="13"/>
  <c r="F13" i="13"/>
  <c r="E32" i="13"/>
  <c r="H9" i="13" s="1"/>
  <c r="F23" i="13"/>
  <c r="F17" i="13"/>
  <c r="F14" i="13"/>
  <c r="F27" i="13"/>
  <c r="F21" i="13"/>
  <c r="F26" i="13"/>
  <c r="F20" i="13"/>
  <c r="F24" i="13"/>
  <c r="F18" i="13"/>
  <c r="F31" i="13"/>
  <c r="F25" i="13"/>
  <c r="F22" i="13"/>
  <c r="F16" i="13"/>
  <c r="F32" i="1"/>
  <c r="F32" i="10"/>
  <c r="F32" i="13" l="1"/>
</calcChain>
</file>

<file path=xl/sharedStrings.xml><?xml version="1.0" encoding="utf-8"?>
<sst xmlns="http://schemas.openxmlformats.org/spreadsheetml/2006/main" count="494" uniqueCount="33">
  <si>
    <t>Smith Family Budget</t>
  </si>
  <si>
    <t>Income</t>
  </si>
  <si>
    <t>Expenses</t>
  </si>
  <si>
    <t>Source</t>
  </si>
  <si>
    <t>Mr. Smith Paycheck</t>
  </si>
  <si>
    <t>Mrs. Smith Paycheck</t>
  </si>
  <si>
    <t>Door Dash</t>
  </si>
  <si>
    <t>Total</t>
  </si>
  <si>
    <t>Planned</t>
  </si>
  <si>
    <t>Actual</t>
  </si>
  <si>
    <t>Difference</t>
  </si>
  <si>
    <t>Expense</t>
  </si>
  <si>
    <t>Housing</t>
  </si>
  <si>
    <t>Groceries</t>
  </si>
  <si>
    <t>Telephone</t>
  </si>
  <si>
    <t>Electric/ Gas</t>
  </si>
  <si>
    <t>Water/ Seewer/ Trash</t>
  </si>
  <si>
    <t>Cable TV</t>
  </si>
  <si>
    <t>Tuition</t>
  </si>
  <si>
    <t>Internet</t>
  </si>
  <si>
    <t>Maintenance/ Repairs</t>
  </si>
  <si>
    <t>Dining Out</t>
  </si>
  <si>
    <t>Pets</t>
  </si>
  <si>
    <t>Trasnportaion</t>
  </si>
  <si>
    <t>Personal Care</t>
  </si>
  <si>
    <t>Insurance</t>
  </si>
  <si>
    <t>Credit Cards</t>
  </si>
  <si>
    <t>Loans</t>
  </si>
  <si>
    <t>Taxes</t>
  </si>
  <si>
    <t>Gifts/ Charity</t>
  </si>
  <si>
    <t>Savings</t>
  </si>
  <si>
    <t>Other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</si>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</sst>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93B58-29FB-408E-8FCA-BEC8D29D78FE}" name="Table1" displayName="Table1" ref="B11:F32" totalsRowShown="0">
  <autoFilter ref="B11:F32" xr:uid="{53593B58-29FB-408E-8FCA-BEC8D29D78FE}"/>
  <tableColumns count="5">
    <tableColumn id="1" xr3:uid="{EDC2BD0B-28EC-4DF3-80C1-F58949E11B51}" name="Expense"/>
    <tableColumn id="2" xr3:uid="{4C3A66E9-B276-44EA-A10F-60BFE6D9F552}" name="Planned"/>
    <tableColumn id="3" xr3:uid="{29A98DFC-CA98-4A7D-B8B6-F1D18C651993}" name="Actual"/>
    <tableColumn id="4" xr3:uid="{62F9E5A5-48F9-4B20-99C2-5D789F091F90}" name="Difference">
      <calculatedColumnFormula>C12-D12</calculatedColumnFormula>
    </tableColumn>
    <tableColumn id="5" xr3:uid="{9E1C7B26-F6D0-483E-BB76-30ADC303FD63}" name="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DA92-BF0A-40C9-9A08-B1A1CA7B1ECA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:F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0CBD-49E5-44A3-9DC3-443648D64B59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C588-7D74-483F-B1ED-77DC32197428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B75-2D5E-44AD-9285-5D72076B05F5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3FD4-2F54-4BF8-A3ED-7EECACD26FB5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46BC-EDEC-4D46-AE2D-2697E5A113F8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F98B-254F-4993-94AB-07961E96F20D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21A1-B3B6-40FA-A109-B788F40CDDA7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43E4-25FD-40CB-9B87-D0904D4E2911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12F6-0AAC-48DE-A917-68E13E95C313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056B-32F9-44BE-97F8-6B78BAF8F2E6}">
  <dimension ref="A1:H32"/>
  <sheetViews>
    <sheetView workbookViewId="0">
      <selection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08DB-3C37-4C96-BF79-E5D8D6BAAFA3}">
  <dimension ref="A1:H32"/>
  <sheetViews>
    <sheetView workbookViewId="0">
      <selection activeCell="A3" sqref="A1:XFD1048576"/>
    </sheetView>
  </sheetViews>
  <sheetFormatPr defaultRowHeight="14.4" x14ac:dyDescent="0.3"/>
  <cols>
    <col min="2" max="2" width="17.7773437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v>3800</v>
      </c>
      <c r="E4">
        <v>3800</v>
      </c>
      <c r="F4">
        <f>E4-D4</f>
        <v>0</v>
      </c>
    </row>
    <row r="5" spans="1:8" x14ac:dyDescent="0.3">
      <c r="A5" s="1"/>
      <c r="B5" t="s">
        <v>5</v>
      </c>
      <c r="D5">
        <v>1400</v>
      </c>
      <c r="E5">
        <v>1400</v>
      </c>
      <c r="F5">
        <f t="shared" ref="F5:F7" si="0">E5-D5</f>
        <v>0</v>
      </c>
    </row>
    <row r="6" spans="1:8" x14ac:dyDescent="0.3">
      <c r="A6" s="1"/>
      <c r="B6" t="s">
        <v>6</v>
      </c>
      <c r="D6">
        <v>300</v>
      </c>
      <c r="E6">
        <v>375</v>
      </c>
      <c r="F6">
        <f t="shared" si="0"/>
        <v>75</v>
      </c>
    </row>
    <row r="7" spans="1:8" x14ac:dyDescent="0.3">
      <c r="A7" s="1"/>
      <c r="C7" t="s">
        <v>7</v>
      </c>
      <c r="D7">
        <f>D6+D5+D4</f>
        <v>5500</v>
      </c>
      <c r="E7">
        <f t="shared" ref="E7" si="1">E6+E5+E4</f>
        <v>5575</v>
      </c>
      <c r="F7">
        <f t="shared" si="0"/>
        <v>75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-225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v>1700</v>
      </c>
      <c r="D12">
        <v>1700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v>350</v>
      </c>
      <c r="D13">
        <v>362</v>
      </c>
      <c r="E13">
        <f t="shared" ref="E13:E32" si="2">C13-D13</f>
        <v>-12</v>
      </c>
      <c r="F13" s="2">
        <f>D13/D32</f>
        <v>6.2413793103448273E-2</v>
      </c>
    </row>
    <row r="14" spans="1:8" x14ac:dyDescent="0.3">
      <c r="A14" s="1"/>
      <c r="B14" t="s">
        <v>14</v>
      </c>
      <c r="C14">
        <v>275</v>
      </c>
      <c r="D14">
        <v>275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v>175</v>
      </c>
      <c r="D15">
        <v>78</v>
      </c>
      <c r="E15">
        <f t="shared" si="2"/>
        <v>97</v>
      </c>
      <c r="F15" s="2">
        <f>D15/D32</f>
        <v>1.3448275862068966E-2</v>
      </c>
    </row>
    <row r="16" spans="1:8" x14ac:dyDescent="0.3">
      <c r="A16" s="1"/>
      <c r="B16" t="s">
        <v>16</v>
      </c>
      <c r="C16">
        <v>52</v>
      </c>
      <c r="D16">
        <v>54</v>
      </c>
      <c r="E16">
        <f t="shared" si="2"/>
        <v>-2</v>
      </c>
      <c r="F16" s="2">
        <f>D16/D32</f>
        <v>9.3103448275862061E-3</v>
      </c>
    </row>
    <row r="17" spans="1:6" x14ac:dyDescent="0.3">
      <c r="A17" s="1"/>
      <c r="B17" t="s">
        <v>17</v>
      </c>
      <c r="C17">
        <v>115</v>
      </c>
      <c r="D17">
        <v>115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v>500</v>
      </c>
      <c r="D18">
        <v>475</v>
      </c>
      <c r="E18">
        <f t="shared" si="2"/>
        <v>25</v>
      </c>
      <c r="F18" s="2">
        <f>D18/D32</f>
        <v>8.1896551724137928E-2</v>
      </c>
    </row>
    <row r="19" spans="1:6" x14ac:dyDescent="0.3">
      <c r="A19" s="1"/>
      <c r="B19" t="s">
        <v>19</v>
      </c>
      <c r="C19">
        <v>60</v>
      </c>
      <c r="D19">
        <v>60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v>0</v>
      </c>
      <c r="D20">
        <v>25</v>
      </c>
      <c r="E20">
        <f t="shared" si="2"/>
        <v>-25</v>
      </c>
      <c r="F20" s="2">
        <f>D20/D32</f>
        <v>4.3103448275862068E-3</v>
      </c>
    </row>
    <row r="21" spans="1:6" x14ac:dyDescent="0.3">
      <c r="A21" s="1"/>
      <c r="B21" t="s">
        <v>21</v>
      </c>
      <c r="C21">
        <v>200</v>
      </c>
      <c r="D21">
        <v>210</v>
      </c>
      <c r="E21">
        <f t="shared" si="2"/>
        <v>-10</v>
      </c>
      <c r="F21" s="2">
        <f>D21/D32</f>
        <v>3.6206896551724141E-2</v>
      </c>
    </row>
    <row r="22" spans="1:6" x14ac:dyDescent="0.3">
      <c r="A22" s="1"/>
      <c r="B22" t="s">
        <v>22</v>
      </c>
      <c r="C22">
        <v>50</v>
      </c>
      <c r="D22">
        <v>80</v>
      </c>
      <c r="E22">
        <f t="shared" si="2"/>
        <v>-30</v>
      </c>
      <c r="F22" s="2">
        <f>D22/D32</f>
        <v>1.3793103448275862E-2</v>
      </c>
    </row>
    <row r="23" spans="1:6" x14ac:dyDescent="0.3">
      <c r="A23" s="1"/>
      <c r="B23" t="s">
        <v>23</v>
      </c>
      <c r="C23">
        <v>300</v>
      </c>
      <c r="D23">
        <v>260</v>
      </c>
      <c r="E23">
        <f t="shared" si="2"/>
        <v>40</v>
      </c>
      <c r="F23" s="2">
        <f>D23/D32</f>
        <v>4.4827586206896551E-2</v>
      </c>
    </row>
    <row r="24" spans="1:6" x14ac:dyDescent="0.3">
      <c r="A24" s="1"/>
      <c r="B24" t="s">
        <v>24</v>
      </c>
      <c r="C24">
        <v>80</v>
      </c>
      <c r="D24">
        <v>65</v>
      </c>
      <c r="E24">
        <f t="shared" si="2"/>
        <v>15</v>
      </c>
      <c r="F24" s="2">
        <f>D24/D32</f>
        <v>1.1206896551724138E-2</v>
      </c>
    </row>
    <row r="25" spans="1:6" x14ac:dyDescent="0.3">
      <c r="A25" s="1"/>
      <c r="B25" t="s">
        <v>25</v>
      </c>
      <c r="C25">
        <v>175</v>
      </c>
      <c r="D25">
        <v>255</v>
      </c>
      <c r="E25">
        <f t="shared" si="2"/>
        <v>-80</v>
      </c>
      <c r="F25" s="2">
        <f>D25/D32</f>
        <v>4.3965517241379308E-2</v>
      </c>
    </row>
    <row r="26" spans="1:6" x14ac:dyDescent="0.3">
      <c r="A26" s="1"/>
      <c r="B26" t="s">
        <v>26</v>
      </c>
      <c r="C26">
        <v>425</v>
      </c>
      <c r="D26">
        <v>575</v>
      </c>
      <c r="E26">
        <f t="shared" si="2"/>
        <v>-150</v>
      </c>
      <c r="F26" s="2">
        <f>D26/D32</f>
        <v>9.9137931034482762E-2</v>
      </c>
    </row>
    <row r="27" spans="1:6" x14ac:dyDescent="0.3">
      <c r="A27" s="1"/>
      <c r="B27" t="s">
        <v>27</v>
      </c>
      <c r="C27">
        <v>0</v>
      </c>
      <c r="D27"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v>0</v>
      </c>
      <c r="D28">
        <v>350</v>
      </c>
      <c r="E28">
        <f>C28-D28</f>
        <v>-350</v>
      </c>
      <c r="F28" s="2">
        <f>D28/D32</f>
        <v>6.0344827586206899E-2</v>
      </c>
    </row>
    <row r="29" spans="1:6" x14ac:dyDescent="0.3">
      <c r="A29" s="1"/>
      <c r="B29" t="s">
        <v>29</v>
      </c>
      <c r="C29">
        <v>75</v>
      </c>
      <c r="D29">
        <v>125</v>
      </c>
      <c r="E29">
        <f t="shared" si="2"/>
        <v>-50</v>
      </c>
      <c r="F29" s="2">
        <f>D29/D32</f>
        <v>2.1551724137931036E-2</v>
      </c>
    </row>
    <row r="30" spans="1:6" x14ac:dyDescent="0.3">
      <c r="A30" s="1"/>
      <c r="B30" t="s">
        <v>30</v>
      </c>
      <c r="C30">
        <v>950</v>
      </c>
      <c r="D30">
        <v>736</v>
      </c>
      <c r="E30">
        <f t="shared" si="2"/>
        <v>214</v>
      </c>
      <c r="F30" s="2">
        <f>D30/D32</f>
        <v>0.12689655172413794</v>
      </c>
    </row>
    <row r="31" spans="1:6" x14ac:dyDescent="0.3">
      <c r="A31" s="1"/>
      <c r="B31" t="s">
        <v>31</v>
      </c>
      <c r="C31">
        <v>18</v>
      </c>
      <c r="D31">
        <v>0</v>
      </c>
      <c r="E31">
        <f t="shared" si="2"/>
        <v>18</v>
      </c>
      <c r="F31" s="2">
        <f>D31/D32</f>
        <v>0</v>
      </c>
    </row>
    <row r="32" spans="1:6" x14ac:dyDescent="0.3">
      <c r="B32" t="s">
        <v>7</v>
      </c>
      <c r="C32">
        <f>SUM(C12:C31)</f>
        <v>5500</v>
      </c>
      <c r="D32">
        <f>SUM(D12:D31)</f>
        <v>5800</v>
      </c>
      <c r="E32">
        <f t="shared" si="2"/>
        <v>-300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3E6B-F30E-40BA-A338-553950D58628}">
  <dimension ref="A1:H32"/>
  <sheetViews>
    <sheetView tabSelected="1" topLeftCell="A10" workbookViewId="0">
      <selection activeCell="B11" sqref="B11"/>
    </sheetView>
  </sheetViews>
  <sheetFormatPr defaultRowHeight="14.4" x14ac:dyDescent="0.3"/>
  <cols>
    <col min="2" max="2" width="17.77734375" bestFit="1" customWidth="1"/>
    <col min="3" max="3" width="9.6640625" customWidth="1"/>
    <col min="5" max="5" width="11.44140625" customWidth="1"/>
    <col min="6" max="6" width="12.2187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</row>
    <row r="2" spans="1:8" x14ac:dyDescent="0.3">
      <c r="A2" s="1"/>
      <c r="B2" s="1"/>
      <c r="C2" s="1"/>
      <c r="D2" s="1"/>
      <c r="E2" s="1"/>
      <c r="F2" s="1"/>
      <c r="G2" s="1"/>
    </row>
    <row r="3" spans="1:8" x14ac:dyDescent="0.3">
      <c r="A3" s="1" t="s">
        <v>1</v>
      </c>
      <c r="B3" t="s">
        <v>3</v>
      </c>
      <c r="D3" t="s">
        <v>8</v>
      </c>
      <c r="E3" t="s">
        <v>9</v>
      </c>
      <c r="F3" t="s">
        <v>10</v>
      </c>
    </row>
    <row r="4" spans="1:8" x14ac:dyDescent="0.3">
      <c r="A4" s="1"/>
      <c r="B4" t="s">
        <v>4</v>
      </c>
      <c r="D4">
        <f>December!D4+November!D4+October!D4+September!D4+August!D4+July!D4+June!D4+May!D4+April!D4+March!D4+February!D4+January!D4</f>
        <v>45600</v>
      </c>
      <c r="E4">
        <f>December!E4+November!E4+October!E4+September!E4+August!E4+July!E4+June!E4+May!E4+April!E4+March!E4+February!E4+January!E4</f>
        <v>45600</v>
      </c>
      <c r="F4">
        <f>E4-D4</f>
        <v>0</v>
      </c>
    </row>
    <row r="5" spans="1:8" x14ac:dyDescent="0.3">
      <c r="A5" s="1"/>
      <c r="B5" t="s">
        <v>5</v>
      </c>
      <c r="D5">
        <f>December!D5+November!D5+October!D5+September!D5+August!D5+July!D5+June!D5+May!D5+April!D5+March!D5+February!D5+January!D5</f>
        <v>16800</v>
      </c>
      <c r="E5">
        <f>December!E5+November!E5+October!E5+September!E5+August!E5+July!E5+June!E5+May!E5+April!E5+March!E5+February!E5+January!E5</f>
        <v>16800</v>
      </c>
      <c r="F5">
        <f t="shared" ref="F5:F7" si="0">E5-D5</f>
        <v>0</v>
      </c>
    </row>
    <row r="6" spans="1:8" x14ac:dyDescent="0.3">
      <c r="A6" s="1"/>
      <c r="B6" t="s">
        <v>6</v>
      </c>
      <c r="D6">
        <f>December!D6+November!D6+October!D6+September!D6+August!D6+July!D6+June!D6+May!D6+April!D6+March!D6+February!D6+January!D6</f>
        <v>3600</v>
      </c>
      <c r="E6">
        <f>December!E6+November!E6+October!E6+September!E6+August!E6+July!E6+June!E6+May!E6+April!E6+March!E6+February!E6+January!E6</f>
        <v>4500</v>
      </c>
      <c r="F6">
        <f t="shared" si="0"/>
        <v>900</v>
      </c>
    </row>
    <row r="7" spans="1:8" x14ac:dyDescent="0.3">
      <c r="A7" s="1"/>
      <c r="C7" t="s">
        <v>7</v>
      </c>
      <c r="D7">
        <f>D6+D5+D4</f>
        <v>66000</v>
      </c>
      <c r="E7">
        <f t="shared" ref="E7" si="1">E6+E5+E4</f>
        <v>66900</v>
      </c>
      <c r="F7">
        <f t="shared" si="0"/>
        <v>900</v>
      </c>
    </row>
    <row r="8" spans="1:8" x14ac:dyDescent="0.3">
      <c r="A8" s="1"/>
    </row>
    <row r="9" spans="1:8" x14ac:dyDescent="0.3">
      <c r="A9" s="1"/>
      <c r="G9" t="s">
        <v>7</v>
      </c>
      <c r="H9">
        <f>F7+E32</f>
        <v>-2700</v>
      </c>
    </row>
    <row r="11" spans="1:8" x14ac:dyDescent="0.3">
      <c r="A11" s="1" t="s">
        <v>2</v>
      </c>
      <c r="B11" t="s">
        <v>11</v>
      </c>
      <c r="C11" t="s">
        <v>8</v>
      </c>
      <c r="D11" t="s">
        <v>9</v>
      </c>
      <c r="E11" t="s">
        <v>10</v>
      </c>
      <c r="F11" t="s">
        <v>32</v>
      </c>
    </row>
    <row r="12" spans="1:8" x14ac:dyDescent="0.3">
      <c r="A12" s="1"/>
      <c r="B12" t="s">
        <v>12</v>
      </c>
      <c r="C12">
        <f>December!C12+November!C12+October!C12+September!C12+August!C12+July!C12+June!C12+May!C12+April!C12+March!C12+February!C12+January!C12</f>
        <v>20400</v>
      </c>
      <c r="D12">
        <f>December!D12+November!D12+October!D12+September!D12+August!D12+July!D12+June!D12+May!D12+April!D12+March!D12+February!D12+January!D12</f>
        <v>20400</v>
      </c>
      <c r="E12">
        <f>C12-D12</f>
        <v>0</v>
      </c>
      <c r="F12" s="2">
        <f>D12/D32</f>
        <v>0.29310344827586204</v>
      </c>
    </row>
    <row r="13" spans="1:8" x14ac:dyDescent="0.3">
      <c r="A13" s="1"/>
      <c r="B13" t="s">
        <v>13</v>
      </c>
      <c r="C13">
        <f>December!C13+November!C13+October!C13+September!C13+August!C13+July!C13+June!C13+May!C13+April!C13+March!C13+February!C13+January!C13</f>
        <v>4200</v>
      </c>
      <c r="D13">
        <f>December!D13+November!D13+October!D13+September!D13+August!D13+July!D13+June!D13+May!D13+April!D13+March!D13+February!D13+January!D13</f>
        <v>4344</v>
      </c>
      <c r="E13">
        <f t="shared" ref="E13:E32" si="2">C13-D13</f>
        <v>-144</v>
      </c>
      <c r="F13" s="2">
        <f>D13/D32</f>
        <v>6.2413793103448273E-2</v>
      </c>
    </row>
    <row r="14" spans="1:8" x14ac:dyDescent="0.3">
      <c r="A14" s="1"/>
      <c r="B14" t="s">
        <v>14</v>
      </c>
      <c r="C14">
        <f>December!C14+November!C14+October!C14+September!C14+August!C14+July!C14+June!C14+May!C14+April!C14+March!C14+February!C14+January!C14</f>
        <v>3300</v>
      </c>
      <c r="D14">
        <f>December!D14+November!D14+October!D14+September!D14+August!D14+July!D14+June!D14+May!D14+April!D14+March!D14+February!D14+January!D14</f>
        <v>3300</v>
      </c>
      <c r="E14">
        <f t="shared" si="2"/>
        <v>0</v>
      </c>
      <c r="F14" s="2">
        <f>D14/D32</f>
        <v>4.7413793103448273E-2</v>
      </c>
    </row>
    <row r="15" spans="1:8" x14ac:dyDescent="0.3">
      <c r="A15" s="1"/>
      <c r="B15" t="s">
        <v>15</v>
      </c>
      <c r="C15">
        <f>December!C15+November!C15+October!C15+September!C15+August!C15+July!C15+June!C15+May!C15+April!C15+March!C15+February!C15+January!C15</f>
        <v>2100</v>
      </c>
      <c r="D15">
        <f>December!D15+November!D15+October!D15+September!D15+August!D15+July!D15+June!D15+May!D15+April!D15+March!D15+February!D15+January!D15</f>
        <v>936</v>
      </c>
      <c r="E15">
        <f t="shared" si="2"/>
        <v>1164</v>
      </c>
      <c r="F15" s="2">
        <f>D15/D32</f>
        <v>1.3448275862068966E-2</v>
      </c>
    </row>
    <row r="16" spans="1:8" x14ac:dyDescent="0.3">
      <c r="A16" s="1"/>
      <c r="B16" t="s">
        <v>16</v>
      </c>
      <c r="C16">
        <f>December!C16+November!C16+October!C16+September!C16+August!C16+July!C16+June!C16+May!C16+April!C16+March!C16+February!C16+January!C16</f>
        <v>624</v>
      </c>
      <c r="D16">
        <f>December!D16+November!D16+October!D16+September!D16+August!D16+July!D16+June!D16+May!D16+April!D16+March!D16+February!D16+January!D16</f>
        <v>648</v>
      </c>
      <c r="E16">
        <f t="shared" si="2"/>
        <v>-24</v>
      </c>
      <c r="F16" s="2">
        <f>D16/D32</f>
        <v>9.3103448275862061E-3</v>
      </c>
    </row>
    <row r="17" spans="1:6" x14ac:dyDescent="0.3">
      <c r="A17" s="1"/>
      <c r="B17" t="s">
        <v>17</v>
      </c>
      <c r="C17">
        <f>December!C17+November!C17+October!C17+September!C17+August!C17+July!C17+June!C17+May!C17+April!C17+March!C17+February!C17+January!C17</f>
        <v>1380</v>
      </c>
      <c r="D17">
        <f>December!D17+November!D17+October!D17+September!D17+August!D17+July!D17+June!D17+May!D17+April!D17+March!D17+February!D17+January!D17</f>
        <v>1380</v>
      </c>
      <c r="E17">
        <f t="shared" si="2"/>
        <v>0</v>
      </c>
      <c r="F17" s="2">
        <f>D17/D32</f>
        <v>1.9827586206896553E-2</v>
      </c>
    </row>
    <row r="18" spans="1:6" x14ac:dyDescent="0.3">
      <c r="A18" s="1"/>
      <c r="B18" t="s">
        <v>18</v>
      </c>
      <c r="C18">
        <f>December!C18+November!C18+October!C18+September!C18+August!C18+July!C18+June!C18+May!C18+April!C18+March!C18+February!C18+January!C18</f>
        <v>6000</v>
      </c>
      <c r="D18">
        <f>December!D18+November!D18+October!D18+September!D18+August!D18+July!D18+June!D18+May!D18+April!D18+March!D18+February!D18+January!D18</f>
        <v>5700</v>
      </c>
      <c r="E18">
        <f t="shared" si="2"/>
        <v>300</v>
      </c>
      <c r="F18" s="2">
        <f>D18/D32</f>
        <v>8.1896551724137928E-2</v>
      </c>
    </row>
    <row r="19" spans="1:6" x14ac:dyDescent="0.3">
      <c r="A19" s="1"/>
      <c r="B19" t="s">
        <v>19</v>
      </c>
      <c r="C19">
        <f>December!C19+November!C19+October!C19+September!C19+August!C19+July!C19+June!C19+May!C19+April!C19+March!C19+February!C19+January!C19</f>
        <v>720</v>
      </c>
      <c r="D19">
        <f>December!D19+November!D19+October!D19+September!D19+August!D19+July!D19+June!D19+May!D19+April!D19+March!D19+February!D19+January!D19</f>
        <v>720</v>
      </c>
      <c r="E19">
        <f t="shared" si="2"/>
        <v>0</v>
      </c>
      <c r="F19" s="2">
        <f>D19/D32</f>
        <v>1.0344827586206896E-2</v>
      </c>
    </row>
    <row r="20" spans="1:6" x14ac:dyDescent="0.3">
      <c r="A20" s="1"/>
      <c r="B20" t="s">
        <v>20</v>
      </c>
      <c r="C20">
        <f>December!C20+November!C20+October!C20+September!C20+August!C20+July!C20+June!C20+May!C20+April!C20+March!C20+February!C20+January!C20</f>
        <v>0</v>
      </c>
      <c r="D20">
        <f>December!D20+November!D20+October!D20+September!D20+August!D20+July!D20+June!D20+May!D20+April!D20+March!D20+February!D20+January!D20</f>
        <v>300</v>
      </c>
      <c r="E20">
        <f t="shared" si="2"/>
        <v>-300</v>
      </c>
      <c r="F20" s="2">
        <f>D20/D32</f>
        <v>4.3103448275862068E-3</v>
      </c>
    </row>
    <row r="21" spans="1:6" x14ac:dyDescent="0.3">
      <c r="A21" s="1"/>
      <c r="B21" t="s">
        <v>21</v>
      </c>
      <c r="C21">
        <f>December!C21+November!C21+October!C21+September!C21+August!C21+July!C21+June!C21+May!C21+April!C21+March!C21+February!C21+January!C21</f>
        <v>2400</v>
      </c>
      <c r="D21">
        <f>December!D21+November!D21+October!D21+September!D21+August!D21+July!D21+June!D21+May!D21+April!D21+March!D21+February!D21+January!D21</f>
        <v>2520</v>
      </c>
      <c r="E21">
        <f t="shared" si="2"/>
        <v>-120</v>
      </c>
      <c r="F21" s="2">
        <f>D21/D32</f>
        <v>3.6206896551724141E-2</v>
      </c>
    </row>
    <row r="22" spans="1:6" x14ac:dyDescent="0.3">
      <c r="A22" s="1"/>
      <c r="B22" t="s">
        <v>22</v>
      </c>
      <c r="C22">
        <f>December!C22+November!C22+October!C22+September!C22+August!C22+July!C22+June!C22+May!C22+April!C22+March!C22+February!C22+January!C22</f>
        <v>600</v>
      </c>
      <c r="D22">
        <f>December!D22+November!D22+October!D22+September!D22+August!D22+July!D22+June!D22+May!D22+April!D22+March!D22+February!D22+January!D22</f>
        <v>960</v>
      </c>
      <c r="E22">
        <f t="shared" si="2"/>
        <v>-360</v>
      </c>
      <c r="F22" s="2">
        <f>D22/D32</f>
        <v>1.3793103448275862E-2</v>
      </c>
    </row>
    <row r="23" spans="1:6" x14ac:dyDescent="0.3">
      <c r="A23" s="1"/>
      <c r="B23" t="s">
        <v>23</v>
      </c>
      <c r="C23">
        <f>December!C23+November!C23+October!C23+September!C23+August!C23+July!C23+June!C23+May!C23+April!C23+March!C23+February!C23+January!C23</f>
        <v>3600</v>
      </c>
      <c r="D23">
        <f>December!D23+November!D23+October!D23+September!D23+August!D23+July!D23+June!D23+May!D23+April!D23+March!D23+February!D23+January!D23</f>
        <v>3120</v>
      </c>
      <c r="E23">
        <f t="shared" si="2"/>
        <v>480</v>
      </c>
      <c r="F23" s="2">
        <f>D23/D32</f>
        <v>4.4827586206896551E-2</v>
      </c>
    </row>
    <row r="24" spans="1:6" x14ac:dyDescent="0.3">
      <c r="A24" s="1"/>
      <c r="B24" t="s">
        <v>24</v>
      </c>
      <c r="C24">
        <f>December!C24+November!C24+October!C24+September!C24+August!C24+July!C24+June!C24+May!C24+April!C24+March!C24+February!C24+January!C24</f>
        <v>960</v>
      </c>
      <c r="D24">
        <f>December!D24+November!D24+October!D24+September!D24+August!D24+July!D24+June!D24+May!D24+April!D24+March!D24+February!D24+January!D24</f>
        <v>780</v>
      </c>
      <c r="E24">
        <f t="shared" si="2"/>
        <v>180</v>
      </c>
      <c r="F24" s="2">
        <f>D24/D32</f>
        <v>1.1206896551724138E-2</v>
      </c>
    </row>
    <row r="25" spans="1:6" x14ac:dyDescent="0.3">
      <c r="A25" s="1"/>
      <c r="B25" t="s">
        <v>25</v>
      </c>
      <c r="C25">
        <f>December!C25+November!C25+October!C25+September!C25+August!C25+July!C25+June!C25+May!C25+April!C25+March!C25+February!C25+January!C25</f>
        <v>2100</v>
      </c>
      <c r="D25">
        <f>December!D25+November!D25+October!D25+September!D25+August!D25+July!D25+June!D25+May!D25+April!D25+March!D25+February!D25+January!D25</f>
        <v>3060</v>
      </c>
      <c r="E25">
        <f t="shared" si="2"/>
        <v>-960</v>
      </c>
      <c r="F25" s="2">
        <f>D25/D32</f>
        <v>4.3965517241379308E-2</v>
      </c>
    </row>
    <row r="26" spans="1:6" x14ac:dyDescent="0.3">
      <c r="A26" s="1"/>
      <c r="B26" t="s">
        <v>26</v>
      </c>
      <c r="C26">
        <f>December!C26+November!C26+October!C26+September!C26+August!C26+July!C26+June!C26+May!C26+April!C26+March!C26+February!C26+January!C26</f>
        <v>5100</v>
      </c>
      <c r="D26">
        <f>December!D26+November!D26+October!D26+September!D26+August!D26+July!D26+June!D26+May!D26+April!D26+March!D26+February!D26+January!D26</f>
        <v>6900</v>
      </c>
      <c r="E26">
        <f t="shared" si="2"/>
        <v>-1800</v>
      </c>
      <c r="F26" s="2">
        <f>D26/D32</f>
        <v>9.9137931034482762E-2</v>
      </c>
    </row>
    <row r="27" spans="1:6" x14ac:dyDescent="0.3">
      <c r="A27" s="1"/>
      <c r="B27" t="s">
        <v>27</v>
      </c>
      <c r="C27">
        <f>December!C27+November!C27+October!C27+September!C27+August!C27+July!C27+June!C27+May!C27+April!C27+March!C27+February!C27+January!C27</f>
        <v>0</v>
      </c>
      <c r="D27">
        <f>December!D27+November!D27+October!D27+September!D27+August!D27+July!D27+June!D27+May!D27+April!D27+March!D27+February!D27+January!D27</f>
        <v>0</v>
      </c>
      <c r="E27">
        <f t="shared" si="2"/>
        <v>0</v>
      </c>
      <c r="F27" s="2">
        <f>D27/D32</f>
        <v>0</v>
      </c>
    </row>
    <row r="28" spans="1:6" x14ac:dyDescent="0.3">
      <c r="A28" s="1"/>
      <c r="B28" t="s">
        <v>28</v>
      </c>
      <c r="C28">
        <f>December!C28+November!C28+October!C28+September!C28+August!C28+July!C28+June!C28+May!C28+April!C28+March!C28+February!C28+January!C28</f>
        <v>0</v>
      </c>
      <c r="D28">
        <f>December!D28+November!D28+October!D28+September!D28+August!D28+July!D28+June!D28+May!D28+April!D28+March!D28+February!D28+January!D28</f>
        <v>4200</v>
      </c>
      <c r="E28">
        <f>C28-D28</f>
        <v>-4200</v>
      </c>
      <c r="F28" s="2">
        <f>D28/D32</f>
        <v>6.0344827586206899E-2</v>
      </c>
    </row>
    <row r="29" spans="1:6" x14ac:dyDescent="0.3">
      <c r="A29" s="1"/>
      <c r="B29" t="s">
        <v>29</v>
      </c>
      <c r="C29">
        <f>December!C29+November!C29+October!C29+September!C29+August!C29+July!C29+June!C29+May!C29+April!C29+March!C29+February!C29+January!C29</f>
        <v>900</v>
      </c>
      <c r="D29">
        <f>December!D29+November!D29+October!D29+September!D29+August!D29+July!D29+June!D29+May!D29+April!D29+March!D29+February!D29+January!D29</f>
        <v>1500</v>
      </c>
      <c r="E29">
        <f t="shared" si="2"/>
        <v>-600</v>
      </c>
      <c r="F29" s="2">
        <f>D29/D32</f>
        <v>2.1551724137931036E-2</v>
      </c>
    </row>
    <row r="30" spans="1:6" x14ac:dyDescent="0.3">
      <c r="A30" s="1"/>
      <c r="B30" t="s">
        <v>30</v>
      </c>
      <c r="C30">
        <f>December!C30+November!C30+October!C30+September!C30+August!C30+July!C30+June!C30+May!C30+April!C30+March!C30+February!C30+January!C30</f>
        <v>11400</v>
      </c>
      <c r="D30">
        <f>December!D30+November!D30+October!D30+September!D30+August!D30+July!D30+June!D30+May!D30+April!D30+March!D30+February!D30+January!D30</f>
        <v>8832</v>
      </c>
      <c r="E30">
        <f t="shared" si="2"/>
        <v>2568</v>
      </c>
      <c r="F30" s="2">
        <f>D30/D32</f>
        <v>0.12689655172413794</v>
      </c>
    </row>
    <row r="31" spans="1:6" x14ac:dyDescent="0.3">
      <c r="A31" s="1"/>
      <c r="B31" t="s">
        <v>31</v>
      </c>
      <c r="C31">
        <f>December!C31+November!C31+October!C31+September!C31+August!C31+July!C31+June!C31+May!C31+April!C31+March!C31+February!C31+January!C31</f>
        <v>216</v>
      </c>
      <c r="D31">
        <f>December!D31+November!D31+October!D31+September!D31+August!D31+July!D31+June!D31+May!D31+April!D31+March!D31+February!D31+January!D31</f>
        <v>0</v>
      </c>
      <c r="E31">
        <f t="shared" si="2"/>
        <v>216</v>
      </c>
      <c r="F31" s="2">
        <f>D31/D32</f>
        <v>0</v>
      </c>
    </row>
    <row r="32" spans="1:6" x14ac:dyDescent="0.3">
      <c r="B32" t="s">
        <v>7</v>
      </c>
      <c r="C32">
        <f>SUM(C12:C31)</f>
        <v>66000</v>
      </c>
      <c r="D32">
        <f>SUM(D12:D31)</f>
        <v>69600</v>
      </c>
      <c r="E32">
        <f t="shared" si="2"/>
        <v>-3600</v>
      </c>
      <c r="F32" s="2">
        <f>SUM(F12:F31)</f>
        <v>1</v>
      </c>
    </row>
  </sheetData>
  <mergeCells count="3">
    <mergeCell ref="A1:G2"/>
    <mergeCell ref="A3:A9"/>
    <mergeCell ref="A11:A3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00808-CB09-4F95-8845-721A0120D1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Nashaly Villafane</dc:creator>
  <cp:lastModifiedBy>Nashaly Villafane</cp:lastModifiedBy>
  <dcterms:created xsi:type="dcterms:W3CDTF">2026-06-03T03:17:47Z</dcterms:created>
  <dcterms:modified xsi:type="dcterms:W3CDTF">2026-06-03T04:13:20Z</dcterms:modified>
</cp:coreProperties>
</file>